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Transactions" sheetId="1" state="visible" r:id="rId3"/>
    <sheet name="Monthly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<sst xmlns="http://schemas.openxmlformats.org/spreadsheetml/2006/main" count="250" uniqueCount="182">
  <si>
    <t xml:space="preserve">#</t>
  </si>
  <si>
    <t xml:space="preserve">Date</t>
  </si>
  <si>
    <t xml:space="preserve">Type</t>
  </si>
  <si>
    <t xml:space="preserve">Amount (€)</t>
  </si>
  <si>
    <t xml:space="preserve">Excl. VAT (€)</t>
  </si>
  <si>
    <t xml:space="preserve">VAT 9% (€)</t>
  </si>
  <si>
    <t xml:space="preserve">Transaction ID</t>
  </si>
  <si>
    <t xml:space="preserve">2023-07-05</t>
  </si>
  <si>
    <t xml:space="preserve">Personal Top Up</t>
  </si>
  <si>
    <t xml:space="preserve">XZZ66f3095e4a8f5F65KRXHIZP6ABFWH</t>
  </si>
  <si>
    <t xml:space="preserve">2023-07-27</t>
  </si>
  <si>
    <t xml:space="preserve">XZZ577b29f7c716770763FPG3CFAZG7X</t>
  </si>
  <si>
    <t xml:space="preserve">XZZ587b966a65002630427XGVV4TNE6R</t>
  </si>
  <si>
    <t xml:space="preserve">2023-08-20</t>
  </si>
  <si>
    <t xml:space="preserve">XZZ68a1480142bb85C2GJUPS6MXG5GTD</t>
  </si>
  <si>
    <t xml:space="preserve">2023-09-12</t>
  </si>
  <si>
    <t xml:space="preserve">XZZ68f5dd4fd615f55DSZJCDF2LU5AVB</t>
  </si>
  <si>
    <t xml:space="preserve">2023-10-20</t>
  </si>
  <si>
    <t xml:space="preserve">XZZ6839adec95d271497EO22G3VYBG7Z</t>
  </si>
  <si>
    <t xml:space="preserve">2023-10-31</t>
  </si>
  <si>
    <t xml:space="preserve">XZZ68c69028d372a922FNKQ76N5KNA7H</t>
  </si>
  <si>
    <t xml:space="preserve">2023-11-11</t>
  </si>
  <si>
    <t xml:space="preserve">XZZ68cfd61c71590C3BH7C6ZK35FJCG7</t>
  </si>
  <si>
    <t xml:space="preserve">2023-11-23</t>
  </si>
  <si>
    <t xml:space="preserve">XZZ664009e8c9b5fB0FX66DLSPPDZE7Z</t>
  </si>
  <si>
    <t xml:space="preserve">2023-12-01</t>
  </si>
  <si>
    <t xml:space="preserve">XZZ643f332519933232VM7ABZ2NUNEWD</t>
  </si>
  <si>
    <t xml:space="preserve">2023-12-13</t>
  </si>
  <si>
    <t xml:space="preserve">Government Credit</t>
  </si>
  <si>
    <t xml:space="preserve">f743936f</t>
  </si>
  <si>
    <t xml:space="preserve">2024-01-10</t>
  </si>
  <si>
    <t xml:space="preserve">XZZ644c8f20fa2e6291MNEVCJC3OFBQB</t>
  </si>
  <si>
    <t xml:space="preserve">2024-01-12</t>
  </si>
  <si>
    <t xml:space="preserve">a90a0e4</t>
  </si>
  <si>
    <t xml:space="preserve">2024-02-02</t>
  </si>
  <si>
    <t xml:space="preserve">XZZ687b504c160343ACQJMDN2PQF5A3D</t>
  </si>
  <si>
    <t xml:space="preserve">2024-02-17</t>
  </si>
  <si>
    <t xml:space="preserve">XZZ66b3a05e62634D09YWUOQ4CLMNGLT</t>
  </si>
  <si>
    <t xml:space="preserve">2024-03-04</t>
  </si>
  <si>
    <t xml:space="preserve">XZZ662567ecd1eeeB08PQWTFFMCKBBWJ</t>
  </si>
  <si>
    <t xml:space="preserve">2024-03-13</t>
  </si>
  <si>
    <t xml:space="preserve">XZZ666f346fdd40b5AA66PCRHOGOVB4R</t>
  </si>
  <si>
    <t xml:space="preserve">2024-03-14</t>
  </si>
  <si>
    <t xml:space="preserve">VIRTUAL-cfcaf9e5</t>
  </si>
  <si>
    <t xml:space="preserve">2024-04-11</t>
  </si>
  <si>
    <t xml:space="preserve">XZZ688eee8b23a41AE1SV4V2CKU3VAI5</t>
  </si>
  <si>
    <t xml:space="preserve">2024-05-06</t>
  </si>
  <si>
    <t xml:space="preserve">XZZ68c3078700cbd3E5KGCJBXAIWJHAP</t>
  </si>
  <si>
    <t xml:space="preserve">2024-06-07</t>
  </si>
  <si>
    <t xml:space="preserve">XZZ67abd062393036345NVLCRYGVRHW5</t>
  </si>
  <si>
    <t xml:space="preserve">2024-06-25</t>
  </si>
  <si>
    <t xml:space="preserve">XZZ55fcc695f862559E6XSSIGMH45BGR</t>
  </si>
  <si>
    <t xml:space="preserve">2024-08-03</t>
  </si>
  <si>
    <t xml:space="preserve">XZZ61f2b22e34e1cA49DJVFCI77XBE3V</t>
  </si>
  <si>
    <t xml:space="preserve">2024-08-19</t>
  </si>
  <si>
    <t xml:space="preserve">XZZ61153fd2bddf0380NHKBPFN7M5HJ5</t>
  </si>
  <si>
    <t xml:space="preserve">2024-08-30</t>
  </si>
  <si>
    <t xml:space="preserve">XZZ624246d2dc3652D2L3PH4IXSGNGVR</t>
  </si>
  <si>
    <t xml:space="preserve">2024-09-13</t>
  </si>
  <si>
    <t xml:space="preserve">XZZ64c5f27f3d8d57FFXGIQCBVZUFABT</t>
  </si>
  <si>
    <t xml:space="preserve">2024-09-29</t>
  </si>
  <si>
    <t xml:space="preserve">XZZ67b355e7629b5E1AQTTTRBBT2RCYZ</t>
  </si>
  <si>
    <t xml:space="preserve">2024-10-15</t>
  </si>
  <si>
    <t xml:space="preserve">XZZ63aa1b4544ce754C4PZ6Y5JYJFCTZ</t>
  </si>
  <si>
    <t xml:space="preserve">2024-10-23</t>
  </si>
  <si>
    <t xml:space="preserve">XZZ63281947ad85eB51CLVEISP2BZFWF</t>
  </si>
  <si>
    <t xml:space="preserve">2024-11-04</t>
  </si>
  <si>
    <t xml:space="preserve">XZZ6704e1da15d2b2C7X5SUT3WOLJBOT</t>
  </si>
  <si>
    <t xml:space="preserve">2024-11-19</t>
  </si>
  <si>
    <t xml:space="preserve">VIRTUAL-494d11d0</t>
  </si>
  <si>
    <t xml:space="preserve">2024-12-04</t>
  </si>
  <si>
    <t xml:space="preserve">XZZ546b112a760a2B7FIVBHNNEYIVBK5</t>
  </si>
  <si>
    <t xml:space="preserve">2025-01-06</t>
  </si>
  <si>
    <t xml:space="preserve">XZZ526ca234b325727FUDBKAXUKJFFSV</t>
  </si>
  <si>
    <t xml:space="preserve">2025-01-13</t>
  </si>
  <si>
    <t xml:space="preserve">XZZ563ee97c2f5c1FA62AW2MNNU3ZB5X</t>
  </si>
  <si>
    <t xml:space="preserve">2025-01-22</t>
  </si>
  <si>
    <t xml:space="preserve">VIRTUAL-b745a889</t>
  </si>
  <si>
    <t xml:space="preserve">2025-02-16</t>
  </si>
  <si>
    <t xml:space="preserve">XZZ51e89ed3bc428840ZUGG3JWCKRCGV</t>
  </si>
  <si>
    <t xml:space="preserve">2025-03-05</t>
  </si>
  <si>
    <t xml:space="preserve">XZZ5667b79cbc57c74BCX6YSTMKLRBTZ</t>
  </si>
  <si>
    <t xml:space="preserve">2025-03-17</t>
  </si>
  <si>
    <t xml:space="preserve">XZZ53070d3e88204E4BVB56HTD65BAAX</t>
  </si>
  <si>
    <t xml:space="preserve">2025-03-23</t>
  </si>
  <si>
    <t xml:space="preserve">XZZ65092380f17bdD53VTKMCMKTYBEA3</t>
  </si>
  <si>
    <t xml:space="preserve">2025-04-29</t>
  </si>
  <si>
    <t xml:space="preserve">XZZ619e30879814aDA0U4ITNLRK4NEKL</t>
  </si>
  <si>
    <t xml:space="preserve">2025-05-09</t>
  </si>
  <si>
    <t xml:space="preserve">XZZ65a0e25bbc8b2DCCMKQJBWPY6RFAP</t>
  </si>
  <si>
    <t xml:space="preserve">2025-05-27</t>
  </si>
  <si>
    <t xml:space="preserve">XZZ673ff1bf097c1C72CZDFZVZMRZGSR</t>
  </si>
  <si>
    <t xml:space="preserve">2025-06-07</t>
  </si>
  <si>
    <t xml:space="preserve">XZZ62cea7812f2e650AEIZEUJIG6JFID</t>
  </si>
  <si>
    <t xml:space="preserve">2025-06-19</t>
  </si>
  <si>
    <t xml:space="preserve">XZZ62d0e850d2ce3D45DWI3CTSOVBD27</t>
  </si>
  <si>
    <t xml:space="preserve">2025-06-30</t>
  </si>
  <si>
    <t xml:space="preserve">XZZ6356dd1b15f622A0U7F7XXJQPZBCF</t>
  </si>
  <si>
    <t xml:space="preserve">2025-07-11</t>
  </si>
  <si>
    <t xml:space="preserve">XZZ6350e0c77db88BC3L4TYYAXHWBGEF</t>
  </si>
  <si>
    <t xml:space="preserve">2025-07-23</t>
  </si>
  <si>
    <t xml:space="preserve">XZZ68e63eae1251586BCSDC6L55FZBAH</t>
  </si>
  <si>
    <t xml:space="preserve">2025-08-02</t>
  </si>
  <si>
    <t xml:space="preserve">XZZ64995310f84269CFKVANZAEOCVHUZ</t>
  </si>
  <si>
    <t xml:space="preserve">2025-08-13</t>
  </si>
  <si>
    <t xml:space="preserve">XZZ651b12278e8fdACCLJR6I2RTSFAK7</t>
  </si>
  <si>
    <t xml:space="preserve">2025-08-24</t>
  </si>
  <si>
    <t xml:space="preserve">XZZ640e87a8bde0a15EDFXSLSTTJ5HMV</t>
  </si>
  <si>
    <t xml:space="preserve">2025-09-06</t>
  </si>
  <si>
    <t xml:space="preserve">XZZ611d589840c39F64DKEQI5LTGNFL5</t>
  </si>
  <si>
    <t xml:space="preserve">2025-09-23</t>
  </si>
  <si>
    <t xml:space="preserve">XZZ649e48ccdacb38C6G6ICOILLZ5FO3</t>
  </si>
  <si>
    <t xml:space="preserve">2025-10-04</t>
  </si>
  <si>
    <t xml:space="preserve">XZZ637db2a3a755d6AA6LEDKRGIVBHP3</t>
  </si>
  <si>
    <t xml:space="preserve">2025-10-16</t>
  </si>
  <si>
    <t xml:space="preserve">XZZ67d1831a52c25C67XGSDQ2L7PNF4N</t>
  </si>
  <si>
    <t xml:space="preserve">2025-10-25</t>
  </si>
  <si>
    <t xml:space="preserve">XZZ610dc0467c417A83QPWJUZRTXJEUN</t>
  </si>
  <si>
    <t xml:space="preserve">2025-11-03</t>
  </si>
  <si>
    <t xml:space="preserve">XZZ651383403f65e965FLXMXBHYYBFGZ</t>
  </si>
  <si>
    <t xml:space="preserve">2025-11-12</t>
  </si>
  <si>
    <t xml:space="preserve">XZZ64ffca404814d6C0IMUNLIJESNDOF</t>
  </si>
  <si>
    <t xml:space="preserve">2025-11-21</t>
  </si>
  <si>
    <t xml:space="preserve">XZZ6362d5c8e7f163BEV4V5N2BXLZHJZ</t>
  </si>
  <si>
    <t xml:space="preserve">2025-11-30</t>
  </si>
  <si>
    <t xml:space="preserve">XZZ62db1380019227C1HSH2PZUIWRAAL</t>
  </si>
  <si>
    <t xml:space="preserve">2025-12-10</t>
  </si>
  <si>
    <t xml:space="preserve">XZZ57c17ecf1f7921F0NCZ5XUM3UVALF</t>
  </si>
  <si>
    <t xml:space="preserve">2025-12-19</t>
  </si>
  <si>
    <t xml:space="preserve">XZZ63e3f82fd6a478733D64ELJGGFC3F</t>
  </si>
  <si>
    <t xml:space="preserve">2025-12-29</t>
  </si>
  <si>
    <t xml:space="preserve">XZZ6589425d83901E91QG6HFD4VSBECN</t>
  </si>
  <si>
    <t xml:space="preserve">2026-01-05</t>
  </si>
  <si>
    <t xml:space="preserve">XZZ643cf2c44dcc2267DCYQGCSR6RCPF</t>
  </si>
  <si>
    <t xml:space="preserve">2026-01-14</t>
  </si>
  <si>
    <t xml:space="preserve">XZZ66a2f21a09b841E82ZWDBAJDHJF6J</t>
  </si>
  <si>
    <t xml:space="preserve">2026-01-23</t>
  </si>
  <si>
    <t xml:space="preserve">XZZ624ec8e63fe9d0EFSFUQQW57D5CAL</t>
  </si>
  <si>
    <t xml:space="preserve">2026-02-02</t>
  </si>
  <si>
    <t xml:space="preserve">XZZ6482a8dfe1faf85FKBARXFBP35APB</t>
  </si>
  <si>
    <t xml:space="preserve">2026-02-11</t>
  </si>
  <si>
    <t xml:space="preserve">XZZ6117aafe7b5a3D6AC5WORASNCNG3B</t>
  </si>
  <si>
    <t xml:space="preserve">2026-02-22</t>
  </si>
  <si>
    <t xml:space="preserve">XZZ660a28bb6c6fcA3C3NHNADL6LNC6L</t>
  </si>
  <si>
    <t xml:space="preserve">TOTAL</t>
  </si>
  <si>
    <t xml:space="preserve">Month</t>
  </si>
  <si>
    <t xml:space="preserve">Personal Top-Ups (€)</t>
  </si>
  <si>
    <t xml:space="preserve">Govt Credit (€)</t>
  </si>
  <si>
    <t xml:space="preserve">Total (€)</t>
  </si>
  <si>
    <t xml:space="preserve"># Transactions</t>
  </si>
  <si>
    <t xml:space="preserve">Running Total (€)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</si>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</sst>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F0A2C"/>
        <bgColor rgb="FF993300"/>
      </patternFill>
    </fill>
    <fill>
      <patternFill patternType="solid">
        <fgColor rgb="FFF5E6E8"/>
        <bgColor rgb="FFE8F4E8"/>
      </patternFill>
    </fill>
    <fill>
      <patternFill patternType="solid">
        <fgColor rgb="FFE8F4E8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F0A2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E8F4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6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Top-Up Amounts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'Monthly Summary'!B1</c:f>
              <c:strCache>
                <c:ptCount val="1"/>
                <c:pt idx="0">
                  <c:v>Personal Top-Ups (€)</c:v>
                </c:pt>
              </c:strCache>
            </c:strRef>
          </c:tx>
          <c:spPr>
            <a:solidFill>
              <a:srgbClr val="cf0a2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Summary'!$A$2:$A$32</c:f>
              <c:strCache>
                <c:ptCount val="31"/>
                <c:pt idx="0">
                  <c:v>Jul 2023</c:v>
                </c:pt>
                <c:pt idx="1">
                  <c:v>Aug 2023</c:v>
                </c:pt>
                <c:pt idx="2">
                  <c:v>Sep 2023</c:v>
                </c:pt>
                <c:pt idx="3">
                  <c:v>Oct 2023</c:v>
                </c:pt>
                <c:pt idx="4">
                  <c:v>Nov 2023</c:v>
                </c:pt>
                <c:pt idx="5">
                  <c:v>Dec 2023</c:v>
                </c:pt>
                <c:pt idx="6">
                  <c:v>Jan 2024</c:v>
                </c:pt>
                <c:pt idx="7">
                  <c:v>Feb 2024</c:v>
                </c:pt>
                <c:pt idx="8">
                  <c:v>Mar 2024</c:v>
                </c:pt>
                <c:pt idx="9">
                  <c:v>Apr 2024</c:v>
                </c:pt>
                <c:pt idx="10">
                  <c:v>May 2024</c:v>
                </c:pt>
                <c:pt idx="11">
                  <c:v>Jun 2024</c:v>
                </c:pt>
                <c:pt idx="12">
                  <c:v>Aug 2024</c:v>
                </c:pt>
                <c:pt idx="13">
                  <c:v>Sep 2024</c:v>
                </c:pt>
                <c:pt idx="14">
                  <c:v>Oct 2024</c:v>
                </c:pt>
                <c:pt idx="15">
                  <c:v>Nov 2024</c:v>
                </c:pt>
                <c:pt idx="16">
                  <c:v>Dec 2024</c:v>
                </c:pt>
                <c:pt idx="17">
                  <c:v>Jan 2025</c:v>
                </c:pt>
                <c:pt idx="18">
                  <c:v>Feb 2025</c:v>
                </c:pt>
                <c:pt idx="19">
                  <c:v>Mar 2025</c:v>
                </c:pt>
                <c:pt idx="20">
                  <c:v>Apr 2025</c:v>
                </c:pt>
                <c:pt idx="21">
                  <c:v>May 2025</c:v>
                </c:pt>
                <c:pt idx="22">
                  <c:v>Jun 2025</c:v>
                </c:pt>
                <c:pt idx="23">
                  <c:v>Jul 2025</c:v>
                </c:pt>
                <c:pt idx="24">
                  <c:v>Aug 2025</c:v>
                </c:pt>
                <c:pt idx="25">
                  <c:v>Sep 2025</c:v>
                </c:pt>
                <c:pt idx="26">
                  <c:v>Oct 2025</c:v>
                </c:pt>
                <c:pt idx="27">
                  <c:v>Nov 2025</c:v>
                </c:pt>
                <c:pt idx="28">
                  <c:v>Dec 2025</c:v>
                </c:pt>
                <c:pt idx="29">
                  <c:v>Jan 2026</c:v>
                </c:pt>
                <c:pt idx="30">
                  <c:v>Feb 2026</c:v>
                </c:pt>
              </c:strCache>
            </c:strRef>
          </c:cat>
          <c:val>
            <c:numRef>
              <c:f>'Monthly Summary'!$B$2:$B$32</c:f>
              <c:numCache>
                <c:formatCode>\€#,##0.00</c:formatCode>
                <c:ptCount val="31"/>
                <c:pt idx="0">
                  <c:v>210</c:v>
                </c:pt>
                <c:pt idx="1">
                  <c:v>100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150</c:v>
                </c:pt>
                <c:pt idx="6">
                  <c:v>100</c:v>
                </c:pt>
                <c:pt idx="7">
                  <c:v>200</c:v>
                </c:pt>
                <c:pt idx="8">
                  <c:v>250</c:v>
                </c:pt>
                <c:pt idx="9">
                  <c:v>200</c:v>
                </c:pt>
                <c:pt idx="10">
                  <c:v>200</c:v>
                </c:pt>
                <c:pt idx="11">
                  <c:v>350</c:v>
                </c:pt>
                <c:pt idx="12">
                  <c:v>300</c:v>
                </c:pt>
                <c:pt idx="13">
                  <c:v>200</c:v>
                </c:pt>
                <c:pt idx="14">
                  <c:v>200</c:v>
                </c:pt>
                <c:pt idx="15">
                  <c:v>150</c:v>
                </c:pt>
                <c:pt idx="16">
                  <c:v>200</c:v>
                </c:pt>
                <c:pt idx="17">
                  <c:v>300</c:v>
                </c:pt>
                <c:pt idx="18">
                  <c:v>150</c:v>
                </c:pt>
                <c:pt idx="19">
                  <c:v>350</c:v>
                </c:pt>
                <c:pt idx="20">
                  <c:v>100</c:v>
                </c:pt>
                <c:pt idx="21">
                  <c:v>250</c:v>
                </c:pt>
                <c:pt idx="22">
                  <c:v>300</c:v>
                </c:pt>
                <c:pt idx="23">
                  <c:v>200</c:v>
                </c:pt>
                <c:pt idx="24">
                  <c:v>300</c:v>
                </c:pt>
                <c:pt idx="25">
                  <c:v>250</c:v>
                </c:pt>
                <c:pt idx="26">
                  <c:v>300</c:v>
                </c:pt>
                <c:pt idx="27">
                  <c:v>400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</c:numCache>
            </c:numRef>
          </c:val>
        </c:ser>
        <c:ser>
          <c:idx val="1"/>
          <c:order val="1"/>
          <c:tx>
            <c:strRef>
              <c:f>'Monthly Summary'!C1</c:f>
              <c:strCache>
                <c:ptCount val="1"/>
                <c:pt idx="0">
                  <c:v>Govt Credit (€)</c:v>
                </c:pt>
              </c:strCache>
            </c:strRef>
          </c:tx>
          <c:spPr>
            <a:solidFill>
              <a:srgbClr val="4caf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Summary'!$A$2:$A$32</c:f>
              <c:strCache>
                <c:ptCount val="31"/>
                <c:pt idx="0">
                  <c:v>Jul 2023</c:v>
                </c:pt>
                <c:pt idx="1">
                  <c:v>Aug 2023</c:v>
                </c:pt>
                <c:pt idx="2">
                  <c:v>Sep 2023</c:v>
                </c:pt>
                <c:pt idx="3">
                  <c:v>Oct 2023</c:v>
                </c:pt>
                <c:pt idx="4">
                  <c:v>Nov 2023</c:v>
                </c:pt>
                <c:pt idx="5">
                  <c:v>Dec 2023</c:v>
                </c:pt>
                <c:pt idx="6">
                  <c:v>Jan 2024</c:v>
                </c:pt>
                <c:pt idx="7">
                  <c:v>Feb 2024</c:v>
                </c:pt>
                <c:pt idx="8">
                  <c:v>Mar 2024</c:v>
                </c:pt>
                <c:pt idx="9">
                  <c:v>Apr 2024</c:v>
                </c:pt>
                <c:pt idx="10">
                  <c:v>May 2024</c:v>
                </c:pt>
                <c:pt idx="11">
                  <c:v>Jun 2024</c:v>
                </c:pt>
                <c:pt idx="12">
                  <c:v>Aug 2024</c:v>
                </c:pt>
                <c:pt idx="13">
                  <c:v>Sep 2024</c:v>
                </c:pt>
                <c:pt idx="14">
                  <c:v>Oct 2024</c:v>
                </c:pt>
                <c:pt idx="15">
                  <c:v>Nov 2024</c:v>
                </c:pt>
                <c:pt idx="16">
                  <c:v>Dec 2024</c:v>
                </c:pt>
                <c:pt idx="17">
                  <c:v>Jan 2025</c:v>
                </c:pt>
                <c:pt idx="18">
                  <c:v>Feb 2025</c:v>
                </c:pt>
                <c:pt idx="19">
                  <c:v>Mar 2025</c:v>
                </c:pt>
                <c:pt idx="20">
                  <c:v>Apr 2025</c:v>
                </c:pt>
                <c:pt idx="21">
                  <c:v>May 2025</c:v>
                </c:pt>
                <c:pt idx="22">
                  <c:v>Jun 2025</c:v>
                </c:pt>
                <c:pt idx="23">
                  <c:v>Jul 2025</c:v>
                </c:pt>
                <c:pt idx="24">
                  <c:v>Aug 2025</c:v>
                </c:pt>
                <c:pt idx="25">
                  <c:v>Sep 2025</c:v>
                </c:pt>
                <c:pt idx="26">
                  <c:v>Oct 2025</c:v>
                </c:pt>
                <c:pt idx="27">
                  <c:v>Nov 2025</c:v>
                </c:pt>
                <c:pt idx="28">
                  <c:v>Dec 2025</c:v>
                </c:pt>
                <c:pt idx="29">
                  <c:v>Jan 2026</c:v>
                </c:pt>
                <c:pt idx="30">
                  <c:v>Feb 2026</c:v>
                </c:pt>
              </c:strCache>
            </c:strRef>
          </c:cat>
          <c:val>
            <c:numRef>
              <c:f>'Monthly Summary'!$C$2:$C$32</c:f>
              <c:numCache>
                <c:formatCode>\€#,##0.00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150</c:v>
                </c:pt>
                <c:pt idx="6">
                  <c:v>150</c:v>
                </c:pt>
                <c:pt idx="7">
                  <c:v>0</c:v>
                </c:pt>
                <c:pt idx="8">
                  <c:v>150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125</c:v>
                </c:pt>
                <c:pt idx="16">
                  <c:v>0</c:v>
                </c:pt>
                <c:pt idx="17">
                  <c:v>125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150"/>
        <c:overlap val="100"/>
        <c:axId val="42490435"/>
        <c:axId val="73870311"/>
      </c:barChart>
      <c:catAx>
        <c:axId val="424904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70311"/>
        <c:crosses val="autoZero"/>
        <c:auto val="1"/>
        <c:lblAlgn val="ctr"/>
        <c:lblOffset val="100"/>
        <c:noMultiLvlLbl val="0"/>
      </c:catAx>
      <c:valAx>
        <c:axId val="738703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904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Spend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Summary'!F1</c:f>
              <c:strCache>
                <c:ptCount val="1"/>
                <c:pt idx="0">
                  <c:v>Running Total (€)</c:v>
                </c:pt>
              </c:strCache>
            </c:strRef>
          </c:tx>
          <c:spPr>
            <a:solidFill>
              <a:srgbClr val="cf0a2c"/>
            </a:solidFill>
            <a:ln w="20160">
              <a:solidFill>
                <a:srgbClr val="cf0a2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Summary'!$A$2:$A$32</c:f>
              <c:strCache>
                <c:ptCount val="31"/>
                <c:pt idx="0">
                  <c:v>Jul 2023</c:v>
                </c:pt>
                <c:pt idx="1">
                  <c:v>Aug 2023</c:v>
                </c:pt>
                <c:pt idx="2">
                  <c:v>Sep 2023</c:v>
                </c:pt>
                <c:pt idx="3">
                  <c:v>Oct 2023</c:v>
                </c:pt>
                <c:pt idx="4">
                  <c:v>Nov 2023</c:v>
                </c:pt>
                <c:pt idx="5">
                  <c:v>Dec 2023</c:v>
                </c:pt>
                <c:pt idx="6">
                  <c:v>Jan 2024</c:v>
                </c:pt>
                <c:pt idx="7">
                  <c:v>Feb 2024</c:v>
                </c:pt>
                <c:pt idx="8">
                  <c:v>Mar 2024</c:v>
                </c:pt>
                <c:pt idx="9">
                  <c:v>Apr 2024</c:v>
                </c:pt>
                <c:pt idx="10">
                  <c:v>May 2024</c:v>
                </c:pt>
                <c:pt idx="11">
                  <c:v>Jun 2024</c:v>
                </c:pt>
                <c:pt idx="12">
                  <c:v>Aug 2024</c:v>
                </c:pt>
                <c:pt idx="13">
                  <c:v>Sep 2024</c:v>
                </c:pt>
                <c:pt idx="14">
                  <c:v>Oct 2024</c:v>
                </c:pt>
                <c:pt idx="15">
                  <c:v>Nov 2024</c:v>
                </c:pt>
                <c:pt idx="16">
                  <c:v>Dec 2024</c:v>
                </c:pt>
                <c:pt idx="17">
                  <c:v>Jan 2025</c:v>
                </c:pt>
                <c:pt idx="18">
                  <c:v>Feb 2025</c:v>
                </c:pt>
                <c:pt idx="19">
                  <c:v>Mar 2025</c:v>
                </c:pt>
                <c:pt idx="20">
                  <c:v>Apr 2025</c:v>
                </c:pt>
                <c:pt idx="21">
                  <c:v>May 2025</c:v>
                </c:pt>
                <c:pt idx="22">
                  <c:v>Jun 2025</c:v>
                </c:pt>
                <c:pt idx="23">
                  <c:v>Jul 2025</c:v>
                </c:pt>
                <c:pt idx="24">
                  <c:v>Aug 2025</c:v>
                </c:pt>
                <c:pt idx="25">
                  <c:v>Sep 2025</c:v>
                </c:pt>
                <c:pt idx="26">
                  <c:v>Oct 2025</c:v>
                </c:pt>
                <c:pt idx="27">
                  <c:v>Nov 2025</c:v>
                </c:pt>
                <c:pt idx="28">
                  <c:v>Dec 2025</c:v>
                </c:pt>
                <c:pt idx="29">
                  <c:v>Jan 2026</c:v>
                </c:pt>
                <c:pt idx="30">
                  <c:v>Feb 2026</c:v>
                </c:pt>
              </c:strCache>
            </c:strRef>
          </c:cat>
          <c:val>
            <c:numRef>
              <c:f>'Monthly Summary'!$F$2:$F$32</c:f>
              <c:numCache>
                <c:formatCode>\€#,##0.00</c:formatCode>
                <c:ptCount val="31"/>
                <c:pt idx="0">
                  <c:v>210</c:v>
                </c:pt>
                <c:pt idx="1">
                  <c:v>310</c:v>
                </c:pt>
                <c:pt idx="2">
                  <c:v>510</c:v>
                </c:pt>
                <c:pt idx="3">
                  <c:v>710</c:v>
                </c:pt>
                <c:pt idx="4">
                  <c:v>910</c:v>
                </c:pt>
                <c:pt idx="5">
                  <c:v>1210</c:v>
                </c:pt>
                <c:pt idx="6">
                  <c:v>1460</c:v>
                </c:pt>
                <c:pt idx="7">
                  <c:v>1660</c:v>
                </c:pt>
                <c:pt idx="8">
                  <c:v>2060</c:v>
                </c:pt>
                <c:pt idx="9">
                  <c:v>2260</c:v>
                </c:pt>
                <c:pt idx="10">
                  <c:v>2460</c:v>
                </c:pt>
                <c:pt idx="11">
                  <c:v>2810</c:v>
                </c:pt>
                <c:pt idx="12">
                  <c:v>3110</c:v>
                </c:pt>
                <c:pt idx="13">
                  <c:v>3310</c:v>
                </c:pt>
                <c:pt idx="14">
                  <c:v>3510</c:v>
                </c:pt>
                <c:pt idx="15">
                  <c:v>3785</c:v>
                </c:pt>
                <c:pt idx="16">
                  <c:v>3985</c:v>
                </c:pt>
                <c:pt idx="17">
                  <c:v>4410</c:v>
                </c:pt>
                <c:pt idx="18">
                  <c:v>4560</c:v>
                </c:pt>
                <c:pt idx="19">
                  <c:v>4910</c:v>
                </c:pt>
                <c:pt idx="20">
                  <c:v>5010</c:v>
                </c:pt>
                <c:pt idx="21">
                  <c:v>5260</c:v>
                </c:pt>
                <c:pt idx="22">
                  <c:v>5560</c:v>
                </c:pt>
                <c:pt idx="23">
                  <c:v>5760</c:v>
                </c:pt>
                <c:pt idx="24">
                  <c:v>6060</c:v>
                </c:pt>
                <c:pt idx="25">
                  <c:v>6310</c:v>
                </c:pt>
                <c:pt idx="26">
                  <c:v>6610</c:v>
                </c:pt>
                <c:pt idx="27">
                  <c:v>7010</c:v>
                </c:pt>
                <c:pt idx="28">
                  <c:v>7310</c:v>
                </c:pt>
                <c:pt idx="29">
                  <c:v>7610</c:v>
                </c:pt>
                <c:pt idx="30">
                  <c:v>7910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069165"/>
        <c:axId val="68356827"/>
      </c:lineChart>
      <c:catAx>
        <c:axId val="570691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56827"/>
        <c:crosses val="autoZero"/>
        <c:auto val="1"/>
        <c:lblAlgn val="ctr"/>
        <c:lblOffset val="100"/>
        <c:noMultiLvlLbl val="0"/>
      </c:catAx>
      <c:valAx>
        <c:axId val="683568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Spent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691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0</xdr:rowOff>
    </xdr:from>
    <xdr:to>
      <xdr:col>18</xdr:col>
      <xdr:colOff>610920</xdr:colOff>
      <xdr:row>62</xdr:row>
      <xdr:rowOff>190080</xdr:rowOff>
    </xdr:to>
    <xdr:graphicFrame>
      <xdr:nvGraphicFramePr>
        <xdr:cNvPr id="0" name="Chart 1"/>
        <xdr:cNvGraphicFramePr/>
      </xdr:nvGraphicFramePr>
      <xdr:xfrm>
        <a:off x="0" y="6791400"/>
        <a:ext cx="14715720" cy="53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64</xdr:row>
      <xdr:rowOff>0</xdr:rowOff>
    </xdr:from>
    <xdr:to>
      <xdr:col>18</xdr:col>
      <xdr:colOff>610920</xdr:colOff>
      <xdr:row>91</xdr:row>
      <xdr:rowOff>190080</xdr:rowOff>
    </xdr:to>
    <xdr:graphicFrame>
      <xdr:nvGraphicFramePr>
        <xdr:cNvPr id="1" name="Chart 2"/>
        <xdr:cNvGraphicFramePr/>
      </xdr:nvGraphicFramePr>
      <xdr:xfrm>
        <a:off x="0" y="12315960"/>
        <a:ext cx="14715720" cy="53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30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n">
        <v>1</v>
      </c>
      <c r="B2" s="3" t="s">
        <v>7</v>
      </c>
      <c r="C2" s="3" t="s">
        <v>8</v>
      </c>
      <c r="D2" s="4" t="n">
        <v>100</v>
      </c>
      <c r="E2" s="4" t="n">
        <v>91.74</v>
      </c>
      <c r="F2" s="4" t="n">
        <v>8.26</v>
      </c>
      <c r="G2" s="5" t="s">
        <v>9</v>
      </c>
    </row>
    <row r="3" customFormat="false" ht="15" hidden="false" customHeight="true" outlineLevel="0" collapsed="false">
      <c r="A3" s="6" t="n">
        <v>2</v>
      </c>
      <c r="B3" s="6" t="s">
        <v>10</v>
      </c>
      <c r="C3" s="6" t="s">
        <v>8</v>
      </c>
      <c r="D3" s="7" t="n">
        <v>10</v>
      </c>
      <c r="E3" s="7" t="n">
        <v>9.17</v>
      </c>
      <c r="F3" s="7" t="n">
        <v>0.83</v>
      </c>
      <c r="G3" s="8" t="s">
        <v>11</v>
      </c>
    </row>
    <row r="4" customFormat="false" ht="15" hidden="false" customHeight="true" outlineLevel="0" collapsed="false">
      <c r="A4" s="3" t="n">
        <v>3</v>
      </c>
      <c r="B4" s="3" t="s">
        <v>10</v>
      </c>
      <c r="C4" s="3" t="s">
        <v>8</v>
      </c>
      <c r="D4" s="4" t="n">
        <v>100</v>
      </c>
      <c r="E4" s="4" t="n">
        <v>91.74</v>
      </c>
      <c r="F4" s="4" t="n">
        <v>8.26</v>
      </c>
      <c r="G4" s="5" t="s">
        <v>12</v>
      </c>
    </row>
    <row r="5" customFormat="false" ht="15" hidden="false" customHeight="true" outlineLevel="0" collapsed="false">
      <c r="A5" s="6" t="n">
        <v>4</v>
      </c>
      <c r="B5" s="6" t="s">
        <v>13</v>
      </c>
      <c r="C5" s="6" t="s">
        <v>8</v>
      </c>
      <c r="D5" s="7" t="n">
        <v>100</v>
      </c>
      <c r="E5" s="7" t="n">
        <v>91.74</v>
      </c>
      <c r="F5" s="7" t="n">
        <v>8.26</v>
      </c>
      <c r="G5" s="8" t="s">
        <v>14</v>
      </c>
    </row>
    <row r="6" customFormat="false" ht="15" hidden="false" customHeight="true" outlineLevel="0" collapsed="false">
      <c r="A6" s="3" t="n">
        <v>5</v>
      </c>
      <c r="B6" s="3" t="s">
        <v>15</v>
      </c>
      <c r="C6" s="3" t="s">
        <v>8</v>
      </c>
      <c r="D6" s="4" t="n">
        <v>200</v>
      </c>
      <c r="E6" s="4" t="n">
        <v>183.49</v>
      </c>
      <c r="F6" s="4" t="n">
        <v>16.51</v>
      </c>
      <c r="G6" s="5" t="s">
        <v>16</v>
      </c>
    </row>
    <row r="7" customFormat="false" ht="15" hidden="false" customHeight="true" outlineLevel="0" collapsed="false">
      <c r="A7" s="6" t="n">
        <v>6</v>
      </c>
      <c r="B7" s="6" t="s">
        <v>17</v>
      </c>
      <c r="C7" s="6" t="s">
        <v>8</v>
      </c>
      <c r="D7" s="7" t="n">
        <v>100</v>
      </c>
      <c r="E7" s="7" t="n">
        <v>91.74</v>
      </c>
      <c r="F7" s="7" t="n">
        <v>8.26</v>
      </c>
      <c r="G7" s="8" t="s">
        <v>18</v>
      </c>
    </row>
    <row r="8" customFormat="false" ht="15" hidden="false" customHeight="true" outlineLevel="0" collapsed="false">
      <c r="A8" s="3" t="n">
        <v>7</v>
      </c>
      <c r="B8" s="3" t="s">
        <v>19</v>
      </c>
      <c r="C8" s="3" t="s">
        <v>8</v>
      </c>
      <c r="D8" s="4" t="n">
        <v>100</v>
      </c>
      <c r="E8" s="4" t="n">
        <v>91.74</v>
      </c>
      <c r="F8" s="4" t="n">
        <v>8.26</v>
      </c>
      <c r="G8" s="5" t="s">
        <v>20</v>
      </c>
    </row>
    <row r="9" customFormat="false" ht="15" hidden="false" customHeight="true" outlineLevel="0" collapsed="false">
      <c r="A9" s="6" t="n">
        <v>8</v>
      </c>
      <c r="B9" s="6" t="s">
        <v>21</v>
      </c>
      <c r="C9" s="6" t="s">
        <v>8</v>
      </c>
      <c r="D9" s="7" t="n">
        <v>100</v>
      </c>
      <c r="E9" s="7" t="n">
        <v>91.74</v>
      </c>
      <c r="F9" s="7" t="n">
        <v>8.26</v>
      </c>
      <c r="G9" s="8" t="s">
        <v>22</v>
      </c>
    </row>
    <row r="10" customFormat="false" ht="15" hidden="false" customHeight="true" outlineLevel="0" collapsed="false">
      <c r="A10" s="3" t="n">
        <v>9</v>
      </c>
      <c r="B10" s="3" t="s">
        <v>23</v>
      </c>
      <c r="C10" s="3" t="s">
        <v>8</v>
      </c>
      <c r="D10" s="4" t="n">
        <v>100</v>
      </c>
      <c r="E10" s="4" t="n">
        <v>91.74</v>
      </c>
      <c r="F10" s="4" t="n">
        <v>8.26</v>
      </c>
      <c r="G10" s="5" t="s">
        <v>24</v>
      </c>
    </row>
    <row r="11" customFormat="false" ht="15" hidden="false" customHeight="true" outlineLevel="0" collapsed="false">
      <c r="A11" s="6" t="n">
        <v>10</v>
      </c>
      <c r="B11" s="6" t="s">
        <v>25</v>
      </c>
      <c r="C11" s="6" t="s">
        <v>8</v>
      </c>
      <c r="D11" s="7" t="n">
        <v>150</v>
      </c>
      <c r="E11" s="7" t="n">
        <v>137.61</v>
      </c>
      <c r="F11" s="7" t="n">
        <v>12.38</v>
      </c>
      <c r="G11" s="8" t="s">
        <v>26</v>
      </c>
    </row>
    <row r="12" customFormat="false" ht="15" hidden="false" customHeight="true" outlineLevel="0" collapsed="false">
      <c r="A12" s="9" t="n">
        <v>11</v>
      </c>
      <c r="B12" s="9" t="s">
        <v>27</v>
      </c>
      <c r="C12" s="9" t="s">
        <v>28</v>
      </c>
      <c r="D12" s="10" t="n">
        <v>150</v>
      </c>
      <c r="E12" s="10" t="n">
        <v>137.61</v>
      </c>
      <c r="F12" s="10" t="n">
        <v>12.38</v>
      </c>
      <c r="G12" s="11" t="s">
        <v>29</v>
      </c>
    </row>
    <row r="13" customFormat="false" ht="15" hidden="false" customHeight="true" outlineLevel="0" collapsed="false">
      <c r="A13" s="6" t="n">
        <v>12</v>
      </c>
      <c r="B13" s="6" t="s">
        <v>30</v>
      </c>
      <c r="C13" s="6" t="s">
        <v>8</v>
      </c>
      <c r="D13" s="7" t="n">
        <v>100</v>
      </c>
      <c r="E13" s="7" t="n">
        <v>91.74</v>
      </c>
      <c r="F13" s="7" t="n">
        <v>8.26</v>
      </c>
      <c r="G13" s="8" t="s">
        <v>31</v>
      </c>
    </row>
    <row r="14" customFormat="false" ht="15" hidden="false" customHeight="true" outlineLevel="0" collapsed="false">
      <c r="A14" s="9" t="n">
        <v>13</v>
      </c>
      <c r="B14" s="9" t="s">
        <v>32</v>
      </c>
      <c r="C14" s="9" t="s">
        <v>28</v>
      </c>
      <c r="D14" s="10" t="n">
        <v>150</v>
      </c>
      <c r="E14" s="10" t="n">
        <v>137.61</v>
      </c>
      <c r="F14" s="10" t="n">
        <v>12.38</v>
      </c>
      <c r="G14" s="11" t="s">
        <v>33</v>
      </c>
    </row>
    <row r="15" customFormat="false" ht="15" hidden="false" customHeight="true" outlineLevel="0" collapsed="false">
      <c r="A15" s="6" t="n">
        <v>14</v>
      </c>
      <c r="B15" s="6" t="s">
        <v>34</v>
      </c>
      <c r="C15" s="6" t="s">
        <v>8</v>
      </c>
      <c r="D15" s="7" t="n">
        <v>100</v>
      </c>
      <c r="E15" s="7" t="n">
        <v>91.74</v>
      </c>
      <c r="F15" s="7" t="n">
        <v>8.26</v>
      </c>
      <c r="G15" s="8" t="s">
        <v>35</v>
      </c>
    </row>
    <row r="16" customFormat="false" ht="15" hidden="false" customHeight="true" outlineLevel="0" collapsed="false">
      <c r="A16" s="3" t="n">
        <v>15</v>
      </c>
      <c r="B16" s="3" t="s">
        <v>36</v>
      </c>
      <c r="C16" s="3" t="s">
        <v>8</v>
      </c>
      <c r="D16" s="4" t="n">
        <v>100</v>
      </c>
      <c r="E16" s="4" t="n">
        <v>91.74</v>
      </c>
      <c r="F16" s="4" t="n">
        <v>8.26</v>
      </c>
      <c r="G16" s="5" t="s">
        <v>37</v>
      </c>
    </row>
    <row r="17" customFormat="false" ht="15" hidden="false" customHeight="true" outlineLevel="0" collapsed="false">
      <c r="A17" s="6" t="n">
        <v>16</v>
      </c>
      <c r="B17" s="6" t="s">
        <v>38</v>
      </c>
      <c r="C17" s="6" t="s">
        <v>8</v>
      </c>
      <c r="D17" s="7" t="n">
        <v>100</v>
      </c>
      <c r="E17" s="7" t="n">
        <v>91.74</v>
      </c>
      <c r="F17" s="7" t="n">
        <v>8.26</v>
      </c>
      <c r="G17" s="8" t="s">
        <v>39</v>
      </c>
    </row>
    <row r="18" customFormat="false" ht="15" hidden="false" customHeight="true" outlineLevel="0" collapsed="false">
      <c r="A18" s="3" t="n">
        <v>17</v>
      </c>
      <c r="B18" s="3" t="s">
        <v>40</v>
      </c>
      <c r="C18" s="3" t="s">
        <v>8</v>
      </c>
      <c r="D18" s="4" t="n">
        <v>150</v>
      </c>
      <c r="E18" s="4" t="n">
        <v>137.61</v>
      </c>
      <c r="F18" s="4" t="n">
        <v>12.38</v>
      </c>
      <c r="G18" s="5" t="s">
        <v>41</v>
      </c>
    </row>
    <row r="19" customFormat="false" ht="15" hidden="false" customHeight="true" outlineLevel="0" collapsed="false">
      <c r="A19" s="9" t="n">
        <v>18</v>
      </c>
      <c r="B19" s="9" t="s">
        <v>42</v>
      </c>
      <c r="C19" s="9" t="s">
        <v>28</v>
      </c>
      <c r="D19" s="10" t="n">
        <v>150</v>
      </c>
      <c r="E19" s="10" t="n">
        <v>137.61</v>
      </c>
      <c r="F19" s="10" t="n">
        <v>12.38</v>
      </c>
      <c r="G19" s="11" t="s">
        <v>43</v>
      </c>
    </row>
    <row r="20" customFormat="false" ht="15" hidden="false" customHeight="true" outlineLevel="0" collapsed="false">
      <c r="A20" s="3" t="n">
        <v>19</v>
      </c>
      <c r="B20" s="3" t="s">
        <v>44</v>
      </c>
      <c r="C20" s="3" t="s">
        <v>8</v>
      </c>
      <c r="D20" s="4" t="n">
        <v>200</v>
      </c>
      <c r="E20" s="4" t="n">
        <v>183.49</v>
      </c>
      <c r="F20" s="4" t="n">
        <v>16.51</v>
      </c>
      <c r="G20" s="5" t="s">
        <v>45</v>
      </c>
    </row>
    <row r="21" customFormat="false" ht="15" hidden="false" customHeight="true" outlineLevel="0" collapsed="false">
      <c r="A21" s="6" t="n">
        <v>20</v>
      </c>
      <c r="B21" s="6" t="s">
        <v>46</v>
      </c>
      <c r="C21" s="6" t="s">
        <v>8</v>
      </c>
      <c r="D21" s="7" t="n">
        <v>200</v>
      </c>
      <c r="E21" s="7" t="n">
        <v>183.49</v>
      </c>
      <c r="F21" s="7" t="n">
        <v>16.51</v>
      </c>
      <c r="G21" s="8" t="s">
        <v>47</v>
      </c>
    </row>
    <row r="22" customFormat="false" ht="15" hidden="false" customHeight="true" outlineLevel="0" collapsed="false">
      <c r="A22" s="3" t="n">
        <v>21</v>
      </c>
      <c r="B22" s="3" t="s">
        <v>48</v>
      </c>
      <c r="C22" s="3" t="s">
        <v>8</v>
      </c>
      <c r="D22" s="4" t="n">
        <v>150</v>
      </c>
      <c r="E22" s="4" t="n">
        <v>137.61</v>
      </c>
      <c r="F22" s="4" t="n">
        <v>12.38</v>
      </c>
      <c r="G22" s="5" t="s">
        <v>49</v>
      </c>
    </row>
    <row r="23" customFormat="false" ht="15" hidden="false" customHeight="true" outlineLevel="0" collapsed="false">
      <c r="A23" s="6" t="n">
        <v>22</v>
      </c>
      <c r="B23" s="6" t="s">
        <v>50</v>
      </c>
      <c r="C23" s="6" t="s">
        <v>8</v>
      </c>
      <c r="D23" s="7" t="n">
        <v>200</v>
      </c>
      <c r="E23" s="7" t="n">
        <v>183.49</v>
      </c>
      <c r="F23" s="7" t="n">
        <v>16.51</v>
      </c>
      <c r="G23" s="8" t="s">
        <v>51</v>
      </c>
    </row>
    <row r="24" customFormat="false" ht="15" hidden="false" customHeight="true" outlineLevel="0" collapsed="false">
      <c r="A24" s="3" t="n">
        <v>23</v>
      </c>
      <c r="B24" s="3" t="s">
        <v>52</v>
      </c>
      <c r="C24" s="3" t="s">
        <v>8</v>
      </c>
      <c r="D24" s="4" t="n">
        <v>100</v>
      </c>
      <c r="E24" s="4" t="n">
        <v>91.74</v>
      </c>
      <c r="F24" s="4" t="n">
        <v>8.26</v>
      </c>
      <c r="G24" s="5" t="s">
        <v>53</v>
      </c>
    </row>
    <row r="25" customFormat="false" ht="15" hidden="false" customHeight="true" outlineLevel="0" collapsed="false">
      <c r="A25" s="6" t="n">
        <v>24</v>
      </c>
      <c r="B25" s="6" t="s">
        <v>54</v>
      </c>
      <c r="C25" s="6" t="s">
        <v>8</v>
      </c>
      <c r="D25" s="7" t="n">
        <v>100</v>
      </c>
      <c r="E25" s="7" t="n">
        <v>91.74</v>
      </c>
      <c r="F25" s="7" t="n">
        <v>8.26</v>
      </c>
      <c r="G25" s="8" t="s">
        <v>55</v>
      </c>
    </row>
    <row r="26" customFormat="false" ht="15" hidden="false" customHeight="true" outlineLevel="0" collapsed="false">
      <c r="A26" s="3" t="n">
        <v>25</v>
      </c>
      <c r="B26" s="3" t="s">
        <v>56</v>
      </c>
      <c r="C26" s="3" t="s">
        <v>8</v>
      </c>
      <c r="D26" s="4" t="n">
        <v>100</v>
      </c>
      <c r="E26" s="4" t="n">
        <v>91.74</v>
      </c>
      <c r="F26" s="4" t="n">
        <v>8.26</v>
      </c>
      <c r="G26" s="5" t="s">
        <v>57</v>
      </c>
    </row>
    <row r="27" customFormat="false" ht="15" hidden="false" customHeight="true" outlineLevel="0" collapsed="false">
      <c r="A27" s="6" t="n">
        <v>26</v>
      </c>
      <c r="B27" s="6" t="s">
        <v>58</v>
      </c>
      <c r="C27" s="6" t="s">
        <v>8</v>
      </c>
      <c r="D27" s="7" t="n">
        <v>100</v>
      </c>
      <c r="E27" s="7" t="n">
        <v>91.74</v>
      </c>
      <c r="F27" s="7" t="n">
        <v>8.26</v>
      </c>
      <c r="G27" s="8" t="s">
        <v>59</v>
      </c>
    </row>
    <row r="28" customFormat="false" ht="15" hidden="false" customHeight="true" outlineLevel="0" collapsed="false">
      <c r="A28" s="3" t="n">
        <v>27</v>
      </c>
      <c r="B28" s="3" t="s">
        <v>60</v>
      </c>
      <c r="C28" s="3" t="s">
        <v>8</v>
      </c>
      <c r="D28" s="4" t="n">
        <v>100</v>
      </c>
      <c r="E28" s="4" t="n">
        <v>91.74</v>
      </c>
      <c r="F28" s="4" t="n">
        <v>8.26</v>
      </c>
      <c r="G28" s="5" t="s">
        <v>61</v>
      </c>
    </row>
    <row r="29" customFormat="false" ht="15" hidden="false" customHeight="true" outlineLevel="0" collapsed="false">
      <c r="A29" s="6" t="n">
        <v>28</v>
      </c>
      <c r="B29" s="6" t="s">
        <v>62</v>
      </c>
      <c r="C29" s="6" t="s">
        <v>8</v>
      </c>
      <c r="D29" s="7" t="n">
        <v>100</v>
      </c>
      <c r="E29" s="7" t="n">
        <v>91.74</v>
      </c>
      <c r="F29" s="7" t="n">
        <v>8.26</v>
      </c>
      <c r="G29" s="8" t="s">
        <v>63</v>
      </c>
    </row>
    <row r="30" customFormat="false" ht="15" hidden="false" customHeight="true" outlineLevel="0" collapsed="false">
      <c r="A30" s="3" t="n">
        <v>29</v>
      </c>
      <c r="B30" s="3" t="s">
        <v>64</v>
      </c>
      <c r="C30" s="3" t="s">
        <v>8</v>
      </c>
      <c r="D30" s="4" t="n">
        <v>100</v>
      </c>
      <c r="E30" s="4" t="n">
        <v>91.74</v>
      </c>
      <c r="F30" s="4" t="n">
        <v>8.26</v>
      </c>
      <c r="G30" s="5" t="s">
        <v>65</v>
      </c>
    </row>
    <row r="31" customFormat="false" ht="15" hidden="false" customHeight="true" outlineLevel="0" collapsed="false">
      <c r="A31" s="6" t="n">
        <v>30</v>
      </c>
      <c r="B31" s="6" t="s">
        <v>66</v>
      </c>
      <c r="C31" s="6" t="s">
        <v>8</v>
      </c>
      <c r="D31" s="7" t="n">
        <v>150</v>
      </c>
      <c r="E31" s="7" t="n">
        <v>137.61</v>
      </c>
      <c r="F31" s="7" t="n">
        <v>12.38</v>
      </c>
      <c r="G31" s="8" t="s">
        <v>67</v>
      </c>
    </row>
    <row r="32" customFormat="false" ht="15" hidden="false" customHeight="true" outlineLevel="0" collapsed="false">
      <c r="A32" s="9" t="n">
        <v>31</v>
      </c>
      <c r="B32" s="9" t="s">
        <v>68</v>
      </c>
      <c r="C32" s="9" t="s">
        <v>28</v>
      </c>
      <c r="D32" s="10" t="n">
        <v>125</v>
      </c>
      <c r="E32" s="10" t="n">
        <v>114.68</v>
      </c>
      <c r="F32" s="10" t="n">
        <v>10.32</v>
      </c>
      <c r="G32" s="11" t="s">
        <v>69</v>
      </c>
    </row>
    <row r="33" customFormat="false" ht="15" hidden="false" customHeight="true" outlineLevel="0" collapsed="false">
      <c r="A33" s="6" t="n">
        <v>32</v>
      </c>
      <c r="B33" s="6" t="s">
        <v>70</v>
      </c>
      <c r="C33" s="6" t="s">
        <v>8</v>
      </c>
      <c r="D33" s="7" t="n">
        <v>200</v>
      </c>
      <c r="E33" s="7" t="n">
        <v>183.49</v>
      </c>
      <c r="F33" s="7" t="n">
        <v>16.51</v>
      </c>
      <c r="G33" s="8" t="s">
        <v>71</v>
      </c>
    </row>
    <row r="34" customFormat="false" ht="15" hidden="false" customHeight="true" outlineLevel="0" collapsed="false">
      <c r="A34" s="3" t="n">
        <v>33</v>
      </c>
      <c r="B34" s="3" t="s">
        <v>72</v>
      </c>
      <c r="C34" s="3" t="s">
        <v>8</v>
      </c>
      <c r="D34" s="4" t="n">
        <v>100</v>
      </c>
      <c r="E34" s="4" t="n">
        <v>91.74</v>
      </c>
      <c r="F34" s="4" t="n">
        <v>8.26</v>
      </c>
      <c r="G34" s="5" t="s">
        <v>73</v>
      </c>
    </row>
    <row r="35" customFormat="false" ht="15" hidden="false" customHeight="true" outlineLevel="0" collapsed="false">
      <c r="A35" s="6" t="n">
        <v>34</v>
      </c>
      <c r="B35" s="6" t="s">
        <v>74</v>
      </c>
      <c r="C35" s="6" t="s">
        <v>8</v>
      </c>
      <c r="D35" s="7" t="n">
        <v>200</v>
      </c>
      <c r="E35" s="7" t="n">
        <v>183.49</v>
      </c>
      <c r="F35" s="7" t="n">
        <v>16.51</v>
      </c>
      <c r="G35" s="8" t="s">
        <v>75</v>
      </c>
    </row>
    <row r="36" customFormat="false" ht="15" hidden="false" customHeight="true" outlineLevel="0" collapsed="false">
      <c r="A36" s="9" t="n">
        <v>35</v>
      </c>
      <c r="B36" s="9" t="s">
        <v>76</v>
      </c>
      <c r="C36" s="9" t="s">
        <v>28</v>
      </c>
      <c r="D36" s="10" t="n">
        <v>125</v>
      </c>
      <c r="E36" s="10" t="n">
        <v>114.68</v>
      </c>
      <c r="F36" s="10" t="n">
        <v>10.32</v>
      </c>
      <c r="G36" s="11" t="s">
        <v>77</v>
      </c>
    </row>
    <row r="37" customFormat="false" ht="15" hidden="false" customHeight="true" outlineLevel="0" collapsed="false">
      <c r="A37" s="6" t="n">
        <v>36</v>
      </c>
      <c r="B37" s="6" t="s">
        <v>78</v>
      </c>
      <c r="C37" s="6" t="s">
        <v>8</v>
      </c>
      <c r="D37" s="7" t="n">
        <v>150</v>
      </c>
      <c r="E37" s="7" t="n">
        <v>137.61</v>
      </c>
      <c r="F37" s="7" t="n">
        <v>12.38</v>
      </c>
      <c r="G37" s="8" t="s">
        <v>79</v>
      </c>
    </row>
    <row r="38" customFormat="false" ht="15" hidden="false" customHeight="true" outlineLevel="0" collapsed="false">
      <c r="A38" s="3" t="n">
        <v>37</v>
      </c>
      <c r="B38" s="3" t="s">
        <v>80</v>
      </c>
      <c r="C38" s="3" t="s">
        <v>8</v>
      </c>
      <c r="D38" s="4" t="n">
        <v>100</v>
      </c>
      <c r="E38" s="4" t="n">
        <v>91.74</v>
      </c>
      <c r="F38" s="4" t="n">
        <v>8.26</v>
      </c>
      <c r="G38" s="5" t="s">
        <v>81</v>
      </c>
    </row>
    <row r="39" customFormat="false" ht="15" hidden="false" customHeight="true" outlineLevel="0" collapsed="false">
      <c r="A39" s="6" t="n">
        <v>38</v>
      </c>
      <c r="B39" s="6" t="s">
        <v>82</v>
      </c>
      <c r="C39" s="6" t="s">
        <v>8</v>
      </c>
      <c r="D39" s="7" t="n">
        <v>100</v>
      </c>
      <c r="E39" s="7" t="n">
        <v>91.74</v>
      </c>
      <c r="F39" s="7" t="n">
        <v>8.26</v>
      </c>
      <c r="G39" s="8" t="s">
        <v>83</v>
      </c>
    </row>
    <row r="40" customFormat="false" ht="15" hidden="false" customHeight="true" outlineLevel="0" collapsed="false">
      <c r="A40" s="3" t="n">
        <v>39</v>
      </c>
      <c r="B40" s="3" t="s">
        <v>84</v>
      </c>
      <c r="C40" s="3" t="s">
        <v>8</v>
      </c>
      <c r="D40" s="4" t="n">
        <v>150</v>
      </c>
      <c r="E40" s="4" t="n">
        <v>137.61</v>
      </c>
      <c r="F40" s="4" t="n">
        <v>12.38</v>
      </c>
      <c r="G40" s="5" t="s">
        <v>85</v>
      </c>
    </row>
    <row r="41" customFormat="false" ht="15" hidden="false" customHeight="true" outlineLevel="0" collapsed="false">
      <c r="A41" s="6" t="n">
        <v>40</v>
      </c>
      <c r="B41" s="6" t="s">
        <v>86</v>
      </c>
      <c r="C41" s="6" t="s">
        <v>8</v>
      </c>
      <c r="D41" s="7" t="n">
        <v>100</v>
      </c>
      <c r="E41" s="7" t="n">
        <v>91.74</v>
      </c>
      <c r="F41" s="7" t="n">
        <v>8.26</v>
      </c>
      <c r="G41" s="8" t="s">
        <v>87</v>
      </c>
    </row>
    <row r="42" customFormat="false" ht="15" hidden="false" customHeight="true" outlineLevel="0" collapsed="false">
      <c r="A42" s="3" t="n">
        <v>41</v>
      </c>
      <c r="B42" s="3" t="s">
        <v>88</v>
      </c>
      <c r="C42" s="3" t="s">
        <v>8</v>
      </c>
      <c r="D42" s="4" t="n">
        <v>150</v>
      </c>
      <c r="E42" s="4" t="n">
        <v>137.61</v>
      </c>
      <c r="F42" s="4" t="n">
        <v>12.38</v>
      </c>
      <c r="G42" s="5" t="s">
        <v>89</v>
      </c>
    </row>
    <row r="43" customFormat="false" ht="15" hidden="false" customHeight="true" outlineLevel="0" collapsed="false">
      <c r="A43" s="6" t="n">
        <v>42</v>
      </c>
      <c r="B43" s="6" t="s">
        <v>90</v>
      </c>
      <c r="C43" s="6" t="s">
        <v>8</v>
      </c>
      <c r="D43" s="7" t="n">
        <v>100</v>
      </c>
      <c r="E43" s="7" t="n">
        <v>91.74</v>
      </c>
      <c r="F43" s="7" t="n">
        <v>8.26</v>
      </c>
      <c r="G43" s="8" t="s">
        <v>91</v>
      </c>
    </row>
    <row r="44" customFormat="false" ht="15" hidden="false" customHeight="true" outlineLevel="0" collapsed="false">
      <c r="A44" s="3" t="n">
        <v>43</v>
      </c>
      <c r="B44" s="3" t="s">
        <v>92</v>
      </c>
      <c r="C44" s="3" t="s">
        <v>8</v>
      </c>
      <c r="D44" s="4" t="n">
        <v>100</v>
      </c>
      <c r="E44" s="4" t="n">
        <v>91.74</v>
      </c>
      <c r="F44" s="4" t="n">
        <v>8.26</v>
      </c>
      <c r="G44" s="5" t="s">
        <v>93</v>
      </c>
    </row>
    <row r="45" customFormat="false" ht="15" hidden="false" customHeight="true" outlineLevel="0" collapsed="false">
      <c r="A45" s="6" t="n">
        <v>44</v>
      </c>
      <c r="B45" s="6" t="s">
        <v>94</v>
      </c>
      <c r="C45" s="6" t="s">
        <v>8</v>
      </c>
      <c r="D45" s="7" t="n">
        <v>100</v>
      </c>
      <c r="E45" s="7" t="n">
        <v>91.74</v>
      </c>
      <c r="F45" s="7" t="n">
        <v>8.26</v>
      </c>
      <c r="G45" s="8" t="s">
        <v>95</v>
      </c>
    </row>
    <row r="46" customFormat="false" ht="15" hidden="false" customHeight="true" outlineLevel="0" collapsed="false">
      <c r="A46" s="3" t="n">
        <v>45</v>
      </c>
      <c r="B46" s="3" t="s">
        <v>96</v>
      </c>
      <c r="C46" s="3" t="s">
        <v>8</v>
      </c>
      <c r="D46" s="4" t="n">
        <v>100</v>
      </c>
      <c r="E46" s="4" t="n">
        <v>91.74</v>
      </c>
      <c r="F46" s="4" t="n">
        <v>8.26</v>
      </c>
      <c r="G46" s="5" t="s">
        <v>97</v>
      </c>
    </row>
    <row r="47" customFormat="false" ht="15" hidden="false" customHeight="true" outlineLevel="0" collapsed="false">
      <c r="A47" s="6" t="n">
        <v>46</v>
      </c>
      <c r="B47" s="6" t="s">
        <v>98</v>
      </c>
      <c r="C47" s="6" t="s">
        <v>8</v>
      </c>
      <c r="D47" s="7" t="n">
        <v>100</v>
      </c>
      <c r="E47" s="7" t="n">
        <v>91.74</v>
      </c>
      <c r="F47" s="7" t="n">
        <v>8.26</v>
      </c>
      <c r="G47" s="8" t="s">
        <v>99</v>
      </c>
    </row>
    <row r="48" customFormat="false" ht="15" hidden="false" customHeight="true" outlineLevel="0" collapsed="false">
      <c r="A48" s="3" t="n">
        <v>47</v>
      </c>
      <c r="B48" s="3" t="s">
        <v>100</v>
      </c>
      <c r="C48" s="3" t="s">
        <v>8</v>
      </c>
      <c r="D48" s="4" t="n">
        <v>100</v>
      </c>
      <c r="E48" s="4" t="n">
        <v>91.74</v>
      </c>
      <c r="F48" s="4" t="n">
        <v>8.26</v>
      </c>
      <c r="G48" s="5" t="s">
        <v>101</v>
      </c>
    </row>
    <row r="49" customFormat="false" ht="15" hidden="false" customHeight="true" outlineLevel="0" collapsed="false">
      <c r="A49" s="6" t="n">
        <v>48</v>
      </c>
      <c r="B49" s="6" t="s">
        <v>102</v>
      </c>
      <c r="C49" s="6" t="s">
        <v>8</v>
      </c>
      <c r="D49" s="7" t="n">
        <v>100</v>
      </c>
      <c r="E49" s="7" t="n">
        <v>91.74</v>
      </c>
      <c r="F49" s="7" t="n">
        <v>8.26</v>
      </c>
      <c r="G49" s="8" t="s">
        <v>103</v>
      </c>
    </row>
    <row r="50" customFormat="false" ht="15" hidden="false" customHeight="true" outlineLevel="0" collapsed="false">
      <c r="A50" s="3" t="n">
        <v>49</v>
      </c>
      <c r="B50" s="3" t="s">
        <v>104</v>
      </c>
      <c r="C50" s="3" t="s">
        <v>8</v>
      </c>
      <c r="D50" s="4" t="n">
        <v>100</v>
      </c>
      <c r="E50" s="4" t="n">
        <v>91.74</v>
      </c>
      <c r="F50" s="4" t="n">
        <v>8.26</v>
      </c>
      <c r="G50" s="5" t="s">
        <v>105</v>
      </c>
    </row>
    <row r="51" customFormat="false" ht="15" hidden="false" customHeight="true" outlineLevel="0" collapsed="false">
      <c r="A51" s="6" t="n">
        <v>50</v>
      </c>
      <c r="B51" s="6" t="s">
        <v>106</v>
      </c>
      <c r="C51" s="6" t="s">
        <v>8</v>
      </c>
      <c r="D51" s="7" t="n">
        <v>100</v>
      </c>
      <c r="E51" s="7" t="n">
        <v>91.74</v>
      </c>
      <c r="F51" s="7" t="n">
        <v>8.26</v>
      </c>
      <c r="G51" s="8" t="s">
        <v>107</v>
      </c>
    </row>
    <row r="52" customFormat="false" ht="15" hidden="false" customHeight="true" outlineLevel="0" collapsed="false">
      <c r="A52" s="3" t="n">
        <v>51</v>
      </c>
      <c r="B52" s="3" t="s">
        <v>108</v>
      </c>
      <c r="C52" s="3" t="s">
        <v>8</v>
      </c>
      <c r="D52" s="4" t="n">
        <v>150</v>
      </c>
      <c r="E52" s="4" t="n">
        <v>137.61</v>
      </c>
      <c r="F52" s="4" t="n">
        <v>12.38</v>
      </c>
      <c r="G52" s="5" t="s">
        <v>109</v>
      </c>
    </row>
    <row r="53" customFormat="false" ht="15" hidden="false" customHeight="true" outlineLevel="0" collapsed="false">
      <c r="A53" s="6" t="n">
        <v>52</v>
      </c>
      <c r="B53" s="6" t="s">
        <v>110</v>
      </c>
      <c r="C53" s="6" t="s">
        <v>8</v>
      </c>
      <c r="D53" s="7" t="n">
        <v>100</v>
      </c>
      <c r="E53" s="7" t="n">
        <v>91.74</v>
      </c>
      <c r="F53" s="7" t="n">
        <v>8.26</v>
      </c>
      <c r="G53" s="8" t="s">
        <v>111</v>
      </c>
    </row>
    <row r="54" customFormat="false" ht="15" hidden="false" customHeight="true" outlineLevel="0" collapsed="false">
      <c r="A54" s="3" t="n">
        <v>53</v>
      </c>
      <c r="B54" s="3" t="s">
        <v>112</v>
      </c>
      <c r="C54" s="3" t="s">
        <v>8</v>
      </c>
      <c r="D54" s="4" t="n">
        <v>100</v>
      </c>
      <c r="E54" s="4" t="n">
        <v>91.74</v>
      </c>
      <c r="F54" s="4" t="n">
        <v>8.26</v>
      </c>
      <c r="G54" s="5" t="s">
        <v>113</v>
      </c>
    </row>
    <row r="55" customFormat="false" ht="15" hidden="false" customHeight="true" outlineLevel="0" collapsed="false">
      <c r="A55" s="6" t="n">
        <v>54</v>
      </c>
      <c r="B55" s="6" t="s">
        <v>114</v>
      </c>
      <c r="C55" s="6" t="s">
        <v>8</v>
      </c>
      <c r="D55" s="7" t="n">
        <v>100</v>
      </c>
      <c r="E55" s="7" t="n">
        <v>91.74</v>
      </c>
      <c r="F55" s="7" t="n">
        <v>8.26</v>
      </c>
      <c r="G55" s="8" t="s">
        <v>115</v>
      </c>
    </row>
    <row r="56" customFormat="false" ht="15" hidden="false" customHeight="true" outlineLevel="0" collapsed="false">
      <c r="A56" s="3" t="n">
        <v>55</v>
      </c>
      <c r="B56" s="3" t="s">
        <v>116</v>
      </c>
      <c r="C56" s="3" t="s">
        <v>8</v>
      </c>
      <c r="D56" s="4" t="n">
        <v>100</v>
      </c>
      <c r="E56" s="4" t="n">
        <v>91.74</v>
      </c>
      <c r="F56" s="4" t="n">
        <v>8.26</v>
      </c>
      <c r="G56" s="5" t="s">
        <v>117</v>
      </c>
    </row>
    <row r="57" customFormat="false" ht="15" hidden="false" customHeight="true" outlineLevel="0" collapsed="false">
      <c r="A57" s="6" t="n">
        <v>56</v>
      </c>
      <c r="B57" s="6" t="s">
        <v>118</v>
      </c>
      <c r="C57" s="6" t="s">
        <v>8</v>
      </c>
      <c r="D57" s="7" t="n">
        <v>100</v>
      </c>
      <c r="E57" s="7" t="n">
        <v>91.74</v>
      </c>
      <c r="F57" s="7" t="n">
        <v>8.26</v>
      </c>
      <c r="G57" s="8" t="s">
        <v>119</v>
      </c>
    </row>
    <row r="58" customFormat="false" ht="15" hidden="false" customHeight="true" outlineLevel="0" collapsed="false">
      <c r="A58" s="3" t="n">
        <v>57</v>
      </c>
      <c r="B58" s="3" t="s">
        <v>120</v>
      </c>
      <c r="C58" s="3" t="s">
        <v>8</v>
      </c>
      <c r="D58" s="4" t="n">
        <v>100</v>
      </c>
      <c r="E58" s="4" t="n">
        <v>91.74</v>
      </c>
      <c r="F58" s="4" t="n">
        <v>8.26</v>
      </c>
      <c r="G58" s="5" t="s">
        <v>121</v>
      </c>
    </row>
    <row r="59" customFormat="false" ht="15" hidden="false" customHeight="true" outlineLevel="0" collapsed="false">
      <c r="A59" s="6" t="n">
        <v>58</v>
      </c>
      <c r="B59" s="6" t="s">
        <v>122</v>
      </c>
      <c r="C59" s="6" t="s">
        <v>8</v>
      </c>
      <c r="D59" s="7" t="n">
        <v>100</v>
      </c>
      <c r="E59" s="7" t="n">
        <v>91.74</v>
      </c>
      <c r="F59" s="7" t="n">
        <v>8.26</v>
      </c>
      <c r="G59" s="8" t="s">
        <v>123</v>
      </c>
    </row>
    <row r="60" customFormat="false" ht="15" hidden="false" customHeight="true" outlineLevel="0" collapsed="false">
      <c r="A60" s="3" t="n">
        <v>59</v>
      </c>
      <c r="B60" s="3" t="s">
        <v>124</v>
      </c>
      <c r="C60" s="3" t="s">
        <v>8</v>
      </c>
      <c r="D60" s="4" t="n">
        <v>100</v>
      </c>
      <c r="E60" s="4" t="n">
        <v>91.74</v>
      </c>
      <c r="F60" s="4" t="n">
        <v>8.26</v>
      </c>
      <c r="G60" s="5" t="s">
        <v>125</v>
      </c>
    </row>
    <row r="61" customFormat="false" ht="15" hidden="false" customHeight="true" outlineLevel="0" collapsed="false">
      <c r="A61" s="6" t="n">
        <v>60</v>
      </c>
      <c r="B61" s="6" t="s">
        <v>126</v>
      </c>
      <c r="C61" s="6" t="s">
        <v>8</v>
      </c>
      <c r="D61" s="7" t="n">
        <v>100</v>
      </c>
      <c r="E61" s="7" t="n">
        <v>91.74</v>
      </c>
      <c r="F61" s="7" t="n">
        <v>8.26</v>
      </c>
      <c r="G61" s="8" t="s">
        <v>127</v>
      </c>
    </row>
    <row r="62" customFormat="false" ht="15" hidden="false" customHeight="true" outlineLevel="0" collapsed="false">
      <c r="A62" s="3" t="n">
        <v>61</v>
      </c>
      <c r="B62" s="3" t="s">
        <v>128</v>
      </c>
      <c r="C62" s="3" t="s">
        <v>8</v>
      </c>
      <c r="D62" s="4" t="n">
        <v>100</v>
      </c>
      <c r="E62" s="4" t="n">
        <v>91.74</v>
      </c>
      <c r="F62" s="4" t="n">
        <v>8.26</v>
      </c>
      <c r="G62" s="5" t="s">
        <v>129</v>
      </c>
    </row>
    <row r="63" customFormat="false" ht="15" hidden="false" customHeight="true" outlineLevel="0" collapsed="false">
      <c r="A63" s="6" t="n">
        <v>62</v>
      </c>
      <c r="B63" s="6" t="s">
        <v>130</v>
      </c>
      <c r="C63" s="6" t="s">
        <v>8</v>
      </c>
      <c r="D63" s="7" t="n">
        <v>100</v>
      </c>
      <c r="E63" s="7" t="n">
        <v>91.74</v>
      </c>
      <c r="F63" s="7" t="n">
        <v>8.26</v>
      </c>
      <c r="G63" s="8" t="s">
        <v>131</v>
      </c>
    </row>
    <row r="64" customFormat="false" ht="15" hidden="false" customHeight="true" outlineLevel="0" collapsed="false">
      <c r="A64" s="3" t="n">
        <v>63</v>
      </c>
      <c r="B64" s="3" t="s">
        <v>132</v>
      </c>
      <c r="C64" s="3" t="s">
        <v>8</v>
      </c>
      <c r="D64" s="4" t="n">
        <v>100</v>
      </c>
      <c r="E64" s="4" t="n">
        <v>91.74</v>
      </c>
      <c r="F64" s="4" t="n">
        <v>8.26</v>
      </c>
      <c r="G64" s="5" t="s">
        <v>133</v>
      </c>
    </row>
    <row r="65" customFormat="false" ht="15" hidden="false" customHeight="true" outlineLevel="0" collapsed="false">
      <c r="A65" s="6" t="n">
        <v>64</v>
      </c>
      <c r="B65" s="6" t="s">
        <v>134</v>
      </c>
      <c r="C65" s="6" t="s">
        <v>8</v>
      </c>
      <c r="D65" s="7" t="n">
        <v>100</v>
      </c>
      <c r="E65" s="7" t="n">
        <v>91.74</v>
      </c>
      <c r="F65" s="7" t="n">
        <v>8.26</v>
      </c>
      <c r="G65" s="8" t="s">
        <v>135</v>
      </c>
    </row>
    <row r="66" customFormat="false" ht="15" hidden="false" customHeight="true" outlineLevel="0" collapsed="false">
      <c r="A66" s="3" t="n">
        <v>65</v>
      </c>
      <c r="B66" s="3" t="s">
        <v>136</v>
      </c>
      <c r="C66" s="3" t="s">
        <v>8</v>
      </c>
      <c r="D66" s="4" t="n">
        <v>100</v>
      </c>
      <c r="E66" s="4" t="n">
        <v>91.74</v>
      </c>
      <c r="F66" s="4" t="n">
        <v>8.26</v>
      </c>
      <c r="G66" s="5" t="s">
        <v>137</v>
      </c>
    </row>
    <row r="67" customFormat="false" ht="15" hidden="false" customHeight="true" outlineLevel="0" collapsed="false">
      <c r="A67" s="6" t="n">
        <v>66</v>
      </c>
      <c r="B67" s="6" t="s">
        <v>138</v>
      </c>
      <c r="C67" s="6" t="s">
        <v>8</v>
      </c>
      <c r="D67" s="7" t="n">
        <v>100</v>
      </c>
      <c r="E67" s="7" t="n">
        <v>91.74</v>
      </c>
      <c r="F67" s="7" t="n">
        <v>8.26</v>
      </c>
      <c r="G67" s="8" t="s">
        <v>139</v>
      </c>
    </row>
    <row r="68" customFormat="false" ht="15" hidden="false" customHeight="true" outlineLevel="0" collapsed="false">
      <c r="A68" s="3" t="n">
        <v>67</v>
      </c>
      <c r="B68" s="3" t="s">
        <v>140</v>
      </c>
      <c r="C68" s="3" t="s">
        <v>8</v>
      </c>
      <c r="D68" s="4" t="n">
        <v>100</v>
      </c>
      <c r="E68" s="4" t="n">
        <v>91.74</v>
      </c>
      <c r="F68" s="4" t="n">
        <v>8.26</v>
      </c>
      <c r="G68" s="5" t="s">
        <v>141</v>
      </c>
    </row>
    <row r="69" customFormat="false" ht="15" hidden="false" customHeight="true" outlineLevel="0" collapsed="false">
      <c r="A69" s="6" t="n">
        <v>68</v>
      </c>
      <c r="B69" s="6" t="s">
        <v>142</v>
      </c>
      <c r="C69" s="6" t="s">
        <v>8</v>
      </c>
      <c r="D69" s="7" t="n">
        <v>100</v>
      </c>
      <c r="E69" s="7" t="n">
        <v>91.74</v>
      </c>
      <c r="F69" s="7" t="n">
        <v>8.26</v>
      </c>
      <c r="G69" s="8" t="s">
        <v>143</v>
      </c>
    </row>
    <row r="70" customFormat="false" ht="15" hidden="false" customHeight="true" outlineLevel="0" collapsed="false">
      <c r="C70" s="12" t="s">
        <v>144</v>
      </c>
      <c r="D70" s="13" t="n">
        <f aca="false">SUM(D2:D69)</f>
        <v>7910</v>
      </c>
      <c r="E70" s="14" t="n">
        <f aca="false">SUM(E2:E69)</f>
        <v>7256.7</v>
      </c>
      <c r="F70" s="14" t="n">
        <f aca="false">SUM(F2:F69)</f>
        <v>653.19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16"/>
  </cols>
  <sheetData>
    <row r="1" customFormat="false" ht="24.75" hidden="false" customHeight="true" outlineLevel="0" collapsed="false">
      <c r="A1" s="2" t="s">
        <v>145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150</v>
      </c>
    </row>
    <row r="2" customFormat="false" ht="15" hidden="false" customHeight="true" outlineLevel="0" collapsed="false">
      <c r="A2" s="3" t="s">
        <v>151</v>
      </c>
      <c r="B2" s="4" t="n">
        <v>210</v>
      </c>
      <c r="C2" s="4" t="n">
        <v>0</v>
      </c>
      <c r="D2" s="4" t="n">
        <v>210</v>
      </c>
      <c r="E2" s="3" t="n">
        <v>3</v>
      </c>
      <c r="F2" s="15" t="n">
        <f aca="false">D2</f>
        <v>210</v>
      </c>
    </row>
    <row r="3" customFormat="false" ht="15" hidden="false" customHeight="true" outlineLevel="0" collapsed="false">
      <c r="A3" s="6" t="s">
        <v>152</v>
      </c>
      <c r="B3" s="7" t="n">
        <v>100</v>
      </c>
      <c r="C3" s="7" t="n">
        <v>0</v>
      </c>
      <c r="D3" s="7" t="n">
        <v>100</v>
      </c>
      <c r="E3" s="6" t="n">
        <v>1</v>
      </c>
      <c r="F3" s="16" t="n">
        <f aca="false">F2+D3</f>
        <v>310</v>
      </c>
    </row>
    <row r="4" customFormat="false" ht="15" hidden="false" customHeight="true" outlineLevel="0" collapsed="false">
      <c r="A4" s="3" t="s">
        <v>153</v>
      </c>
      <c r="B4" s="4" t="n">
        <v>200</v>
      </c>
      <c r="C4" s="4" t="n">
        <v>0</v>
      </c>
      <c r="D4" s="4" t="n">
        <v>200</v>
      </c>
      <c r="E4" s="3" t="n">
        <v>1</v>
      </c>
      <c r="F4" s="15" t="n">
        <f aca="false">F3+D4</f>
        <v>510</v>
      </c>
    </row>
    <row r="5" customFormat="false" ht="15" hidden="false" customHeight="true" outlineLevel="0" collapsed="false">
      <c r="A5" s="6" t="s">
        <v>154</v>
      </c>
      <c r="B5" s="7" t="n">
        <v>200</v>
      </c>
      <c r="C5" s="7" t="n">
        <v>0</v>
      </c>
      <c r="D5" s="7" t="n">
        <v>200</v>
      </c>
      <c r="E5" s="6" t="n">
        <v>2</v>
      </c>
      <c r="F5" s="16" t="n">
        <f aca="false">F4+D5</f>
        <v>710</v>
      </c>
    </row>
    <row r="6" customFormat="false" ht="15" hidden="false" customHeight="true" outlineLevel="0" collapsed="false">
      <c r="A6" s="3" t="s">
        <v>155</v>
      </c>
      <c r="B6" s="4" t="n">
        <v>200</v>
      </c>
      <c r="C6" s="4" t="n">
        <v>0</v>
      </c>
      <c r="D6" s="4" t="n">
        <v>200</v>
      </c>
      <c r="E6" s="3" t="n">
        <v>2</v>
      </c>
      <c r="F6" s="15" t="n">
        <f aca="false">F5+D6</f>
        <v>910</v>
      </c>
    </row>
    <row r="7" customFormat="false" ht="15" hidden="false" customHeight="true" outlineLevel="0" collapsed="false">
      <c r="A7" s="6" t="s">
        <v>156</v>
      </c>
      <c r="B7" s="7" t="n">
        <v>150</v>
      </c>
      <c r="C7" s="7" t="n">
        <v>150</v>
      </c>
      <c r="D7" s="7" t="n">
        <v>300</v>
      </c>
      <c r="E7" s="6" t="n">
        <v>2</v>
      </c>
      <c r="F7" s="16" t="n">
        <f aca="false">F6+D7</f>
        <v>1210</v>
      </c>
    </row>
    <row r="8" customFormat="false" ht="15" hidden="false" customHeight="true" outlineLevel="0" collapsed="false">
      <c r="A8" s="3" t="s">
        <v>157</v>
      </c>
      <c r="B8" s="4" t="n">
        <v>100</v>
      </c>
      <c r="C8" s="4" t="n">
        <v>150</v>
      </c>
      <c r="D8" s="4" t="n">
        <v>250</v>
      </c>
      <c r="E8" s="3" t="n">
        <v>2</v>
      </c>
      <c r="F8" s="15" t="n">
        <f aca="false">F7+D8</f>
        <v>1460</v>
      </c>
    </row>
    <row r="9" customFormat="false" ht="15" hidden="false" customHeight="true" outlineLevel="0" collapsed="false">
      <c r="A9" s="6" t="s">
        <v>158</v>
      </c>
      <c r="B9" s="7" t="n">
        <v>200</v>
      </c>
      <c r="C9" s="7" t="n">
        <v>0</v>
      </c>
      <c r="D9" s="7" t="n">
        <v>200</v>
      </c>
      <c r="E9" s="6" t="n">
        <v>2</v>
      </c>
      <c r="F9" s="16" t="n">
        <f aca="false">F8+D9</f>
        <v>1660</v>
      </c>
    </row>
    <row r="10" customFormat="false" ht="15" hidden="false" customHeight="true" outlineLevel="0" collapsed="false">
      <c r="A10" s="3" t="s">
        <v>159</v>
      </c>
      <c r="B10" s="4" t="n">
        <v>250</v>
      </c>
      <c r="C10" s="4" t="n">
        <v>150</v>
      </c>
      <c r="D10" s="4" t="n">
        <v>400</v>
      </c>
      <c r="E10" s="3" t="n">
        <v>3</v>
      </c>
      <c r="F10" s="15" t="n">
        <f aca="false">F9+D10</f>
        <v>2060</v>
      </c>
    </row>
    <row r="11" customFormat="false" ht="15" hidden="false" customHeight="true" outlineLevel="0" collapsed="false">
      <c r="A11" s="6" t="s">
        <v>160</v>
      </c>
      <c r="B11" s="7" t="n">
        <v>200</v>
      </c>
      <c r="C11" s="7" t="n">
        <v>0</v>
      </c>
      <c r="D11" s="7" t="n">
        <v>200</v>
      </c>
      <c r="E11" s="6" t="n">
        <v>1</v>
      </c>
      <c r="F11" s="16" t="n">
        <f aca="false">F10+D11</f>
        <v>2260</v>
      </c>
    </row>
    <row r="12" customFormat="false" ht="15" hidden="false" customHeight="true" outlineLevel="0" collapsed="false">
      <c r="A12" s="3" t="s">
        <v>161</v>
      </c>
      <c r="B12" s="4" t="n">
        <v>200</v>
      </c>
      <c r="C12" s="4" t="n">
        <v>0</v>
      </c>
      <c r="D12" s="4" t="n">
        <v>200</v>
      </c>
      <c r="E12" s="3" t="n">
        <v>1</v>
      </c>
      <c r="F12" s="15" t="n">
        <f aca="false">F11+D12</f>
        <v>2460</v>
      </c>
    </row>
    <row r="13" customFormat="false" ht="15" hidden="false" customHeight="true" outlineLevel="0" collapsed="false">
      <c r="A13" s="6" t="s">
        <v>162</v>
      </c>
      <c r="B13" s="7" t="n">
        <v>350</v>
      </c>
      <c r="C13" s="7" t="n">
        <v>0</v>
      </c>
      <c r="D13" s="7" t="n">
        <v>350</v>
      </c>
      <c r="E13" s="6" t="n">
        <v>2</v>
      </c>
      <c r="F13" s="16" t="n">
        <f aca="false">F12+D13</f>
        <v>2810</v>
      </c>
    </row>
    <row r="14" customFormat="false" ht="15" hidden="false" customHeight="true" outlineLevel="0" collapsed="false">
      <c r="A14" s="3" t="s">
        <v>163</v>
      </c>
      <c r="B14" s="4" t="n">
        <v>300</v>
      </c>
      <c r="C14" s="4" t="n">
        <v>0</v>
      </c>
      <c r="D14" s="4" t="n">
        <v>300</v>
      </c>
      <c r="E14" s="3" t="n">
        <v>3</v>
      </c>
      <c r="F14" s="15" t="n">
        <f aca="false">F13+D14</f>
        <v>3110</v>
      </c>
    </row>
    <row r="15" customFormat="false" ht="15" hidden="false" customHeight="true" outlineLevel="0" collapsed="false">
      <c r="A15" s="6" t="s">
        <v>164</v>
      </c>
      <c r="B15" s="7" t="n">
        <v>200</v>
      </c>
      <c r="C15" s="7" t="n">
        <v>0</v>
      </c>
      <c r="D15" s="7" t="n">
        <v>200</v>
      </c>
      <c r="E15" s="6" t="n">
        <v>2</v>
      </c>
      <c r="F15" s="16" t="n">
        <f aca="false">F14+D15</f>
        <v>3310</v>
      </c>
    </row>
    <row r="16" customFormat="false" ht="15" hidden="false" customHeight="true" outlineLevel="0" collapsed="false">
      <c r="A16" s="3" t="s">
        <v>165</v>
      </c>
      <c r="B16" s="4" t="n">
        <v>200</v>
      </c>
      <c r="C16" s="4" t="n">
        <v>0</v>
      </c>
      <c r="D16" s="4" t="n">
        <v>200</v>
      </c>
      <c r="E16" s="3" t="n">
        <v>2</v>
      </c>
      <c r="F16" s="15" t="n">
        <f aca="false">F15+D16</f>
        <v>3510</v>
      </c>
    </row>
    <row r="17" customFormat="false" ht="15" hidden="false" customHeight="true" outlineLevel="0" collapsed="false">
      <c r="A17" s="6" t="s">
        <v>166</v>
      </c>
      <c r="B17" s="7" t="n">
        <v>150</v>
      </c>
      <c r="C17" s="7" t="n">
        <v>125</v>
      </c>
      <c r="D17" s="7" t="n">
        <v>275</v>
      </c>
      <c r="E17" s="6" t="n">
        <v>2</v>
      </c>
      <c r="F17" s="16" t="n">
        <f aca="false">F16+D17</f>
        <v>3785</v>
      </c>
    </row>
    <row r="18" customFormat="false" ht="15" hidden="false" customHeight="true" outlineLevel="0" collapsed="false">
      <c r="A18" s="3" t="s">
        <v>167</v>
      </c>
      <c r="B18" s="4" t="n">
        <v>200</v>
      </c>
      <c r="C18" s="4" t="n">
        <v>0</v>
      </c>
      <c r="D18" s="4" t="n">
        <v>200</v>
      </c>
      <c r="E18" s="3" t="n">
        <v>1</v>
      </c>
      <c r="F18" s="15" t="n">
        <f aca="false">F17+D18</f>
        <v>3985</v>
      </c>
    </row>
    <row r="19" customFormat="false" ht="15" hidden="false" customHeight="true" outlineLevel="0" collapsed="false">
      <c r="A19" s="6" t="s">
        <v>168</v>
      </c>
      <c r="B19" s="7" t="n">
        <v>300</v>
      </c>
      <c r="C19" s="7" t="n">
        <v>125</v>
      </c>
      <c r="D19" s="7" t="n">
        <v>425</v>
      </c>
      <c r="E19" s="6" t="n">
        <v>3</v>
      </c>
      <c r="F19" s="16" t="n">
        <f aca="false">F18+D19</f>
        <v>4410</v>
      </c>
    </row>
    <row r="20" customFormat="false" ht="15" hidden="false" customHeight="true" outlineLevel="0" collapsed="false">
      <c r="A20" s="3" t="s">
        <v>169</v>
      </c>
      <c r="B20" s="4" t="n">
        <v>150</v>
      </c>
      <c r="C20" s="4" t="n">
        <v>0</v>
      </c>
      <c r="D20" s="4" t="n">
        <v>150</v>
      </c>
      <c r="E20" s="3" t="n">
        <v>1</v>
      </c>
      <c r="F20" s="15" t="n">
        <f aca="false">F19+D20</f>
        <v>4560</v>
      </c>
    </row>
    <row r="21" customFormat="false" ht="15" hidden="false" customHeight="true" outlineLevel="0" collapsed="false">
      <c r="A21" s="6" t="s">
        <v>170</v>
      </c>
      <c r="B21" s="7" t="n">
        <v>350</v>
      </c>
      <c r="C21" s="7" t="n">
        <v>0</v>
      </c>
      <c r="D21" s="7" t="n">
        <v>350</v>
      </c>
      <c r="E21" s="6" t="n">
        <v>3</v>
      </c>
      <c r="F21" s="16" t="n">
        <f aca="false">F20+D21</f>
        <v>4910</v>
      </c>
    </row>
    <row r="22" customFormat="false" ht="15" hidden="false" customHeight="true" outlineLevel="0" collapsed="false">
      <c r="A22" s="3" t="s">
        <v>171</v>
      </c>
      <c r="B22" s="4" t="n">
        <v>100</v>
      </c>
      <c r="C22" s="4" t="n">
        <v>0</v>
      </c>
      <c r="D22" s="4" t="n">
        <v>100</v>
      </c>
      <c r="E22" s="3" t="n">
        <v>1</v>
      </c>
      <c r="F22" s="15" t="n">
        <f aca="false">F21+D22</f>
        <v>5010</v>
      </c>
    </row>
    <row r="23" customFormat="false" ht="15" hidden="false" customHeight="true" outlineLevel="0" collapsed="false">
      <c r="A23" s="6" t="s">
        <v>172</v>
      </c>
      <c r="B23" s="7" t="n">
        <v>250</v>
      </c>
      <c r="C23" s="7" t="n">
        <v>0</v>
      </c>
      <c r="D23" s="7" t="n">
        <v>250</v>
      </c>
      <c r="E23" s="6" t="n">
        <v>2</v>
      </c>
      <c r="F23" s="16" t="n">
        <f aca="false">F22+D23</f>
        <v>5260</v>
      </c>
    </row>
    <row r="24" customFormat="false" ht="15" hidden="false" customHeight="true" outlineLevel="0" collapsed="false">
      <c r="A24" s="3" t="s">
        <v>173</v>
      </c>
      <c r="B24" s="4" t="n">
        <v>300</v>
      </c>
      <c r="C24" s="4" t="n">
        <v>0</v>
      </c>
      <c r="D24" s="4" t="n">
        <v>300</v>
      </c>
      <c r="E24" s="3" t="n">
        <v>3</v>
      </c>
      <c r="F24" s="15" t="n">
        <f aca="false">F23+D24</f>
        <v>5560</v>
      </c>
    </row>
    <row r="25" customFormat="false" ht="15" hidden="false" customHeight="true" outlineLevel="0" collapsed="false">
      <c r="A25" s="6" t="s">
        <v>174</v>
      </c>
      <c r="B25" s="7" t="n">
        <v>200</v>
      </c>
      <c r="C25" s="7" t="n">
        <v>0</v>
      </c>
      <c r="D25" s="7" t="n">
        <v>200</v>
      </c>
      <c r="E25" s="6" t="n">
        <v>2</v>
      </c>
      <c r="F25" s="16" t="n">
        <f aca="false">F24+D25</f>
        <v>5760</v>
      </c>
    </row>
    <row r="26" customFormat="false" ht="15" hidden="false" customHeight="true" outlineLevel="0" collapsed="false">
      <c r="A26" s="3" t="s">
        <v>175</v>
      </c>
      <c r="B26" s="4" t="n">
        <v>300</v>
      </c>
      <c r="C26" s="4" t="n">
        <v>0</v>
      </c>
      <c r="D26" s="4" t="n">
        <v>300</v>
      </c>
      <c r="E26" s="3" t="n">
        <v>3</v>
      </c>
      <c r="F26" s="15" t="n">
        <f aca="false">F25+D26</f>
        <v>6060</v>
      </c>
    </row>
    <row r="27" customFormat="false" ht="15" hidden="false" customHeight="true" outlineLevel="0" collapsed="false">
      <c r="A27" s="6" t="s">
        <v>176</v>
      </c>
      <c r="B27" s="7" t="n">
        <v>250</v>
      </c>
      <c r="C27" s="7" t="n">
        <v>0</v>
      </c>
      <c r="D27" s="7" t="n">
        <v>250</v>
      </c>
      <c r="E27" s="6" t="n">
        <v>2</v>
      </c>
      <c r="F27" s="16" t="n">
        <f aca="false">F26+D27</f>
        <v>6310</v>
      </c>
    </row>
    <row r="28" customFormat="false" ht="15" hidden="false" customHeight="true" outlineLevel="0" collapsed="false">
      <c r="A28" s="3" t="s">
        <v>177</v>
      </c>
      <c r="B28" s="4" t="n">
        <v>300</v>
      </c>
      <c r="C28" s="4" t="n">
        <v>0</v>
      </c>
      <c r="D28" s="4" t="n">
        <v>300</v>
      </c>
      <c r="E28" s="3" t="n">
        <v>3</v>
      </c>
      <c r="F28" s="15" t="n">
        <f aca="false">F27+D28</f>
        <v>6610</v>
      </c>
    </row>
    <row r="29" customFormat="false" ht="15" hidden="false" customHeight="true" outlineLevel="0" collapsed="false">
      <c r="A29" s="6" t="s">
        <v>178</v>
      </c>
      <c r="B29" s="7" t="n">
        <v>400</v>
      </c>
      <c r="C29" s="7" t="n">
        <v>0</v>
      </c>
      <c r="D29" s="7" t="n">
        <v>400</v>
      </c>
      <c r="E29" s="6" t="n">
        <v>4</v>
      </c>
      <c r="F29" s="16" t="n">
        <f aca="false">F28+D29</f>
        <v>7010</v>
      </c>
    </row>
    <row r="30" customFormat="false" ht="15" hidden="false" customHeight="true" outlineLevel="0" collapsed="false">
      <c r="A30" s="3" t="s">
        <v>179</v>
      </c>
      <c r="B30" s="4" t="n">
        <v>300</v>
      </c>
      <c r="C30" s="4" t="n">
        <v>0</v>
      </c>
      <c r="D30" s="4" t="n">
        <v>300</v>
      </c>
      <c r="E30" s="3" t="n">
        <v>3</v>
      </c>
      <c r="F30" s="15" t="n">
        <f aca="false">F29+D30</f>
        <v>7310</v>
      </c>
    </row>
    <row r="31" customFormat="false" ht="15" hidden="false" customHeight="true" outlineLevel="0" collapsed="false">
      <c r="A31" s="6" t="s">
        <v>180</v>
      </c>
      <c r="B31" s="7" t="n">
        <v>300</v>
      </c>
      <c r="C31" s="7" t="n">
        <v>0</v>
      </c>
      <c r="D31" s="7" t="n">
        <v>300</v>
      </c>
      <c r="E31" s="6" t="n">
        <v>3</v>
      </c>
      <c r="F31" s="16" t="n">
        <f aca="false">F30+D31</f>
        <v>7610</v>
      </c>
    </row>
    <row r="32" customFormat="false" ht="15" hidden="false" customHeight="true" outlineLevel="0" collapsed="false">
      <c r="A32" s="3" t="s">
        <v>181</v>
      </c>
      <c r="B32" s="4" t="n">
        <v>300</v>
      </c>
      <c r="C32" s="4" t="n">
        <v>0</v>
      </c>
      <c r="D32" s="4" t="n">
        <v>300</v>
      </c>
      <c r="E32" s="3" t="n">
        <v>3</v>
      </c>
      <c r="F32" s="15" t="n">
        <f aca="false">F31+D32</f>
        <v>7910</v>
      </c>
    </row>
    <row r="33" customFormat="false" ht="15" hidden="false" customHeight="true" outlineLevel="0" collapsed="false">
      <c r="A33" s="12" t="s">
        <v>144</v>
      </c>
      <c r="B33" s="13" t="n">
        <f aca="false">SUM(B2:B32)</f>
        <v>7210</v>
      </c>
      <c r="C33" s="13" t="n">
        <f aca="false">SUM(C2:C32)</f>
        <v>700</v>
      </c>
      <c r="D33" s="13" t="n">
        <f aca="false">SUM(D2:D32)</f>
        <v>7910</v>
      </c>
      <c r="E33" s="12" t="n">
        <f aca="false">SUM(E2:E32)</f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2026-03-01T09:28:52Z</dcterms:created>
  <dc:creator>openpyxl</dc:creator>
  <dc:description/>
  <dc:language>en-US</dc:language>
  <cp:lastModifiedBy/>
  <dcterms:modified xsi:type="dcterms:W3CDTF">2026-03-01T09:38:28Z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